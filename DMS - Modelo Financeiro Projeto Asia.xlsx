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Sensibilidade" sheetId="2" state="visible" r:id="rId2"/>
    <sheet xmlns:r="http://schemas.openxmlformats.org/officeDocument/2006/relationships" name="Notas e Fo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0,0%"/>
  </numFmts>
  <fonts count="6">
    <font>
      <name val="Calibri"/>
      <family val="2"/>
      <color theme="1"/>
      <sz val="11"/>
      <scheme val="minor"/>
    </font>
    <font>
      <b val="1"/>
      <color rgb="FF005E9E"/>
      <sz val="14"/>
    </font>
    <font>
      <i val="1"/>
      <color rgb="FF555555"/>
      <sz val="8"/>
    </font>
    <font>
      <b val="1"/>
      <color rgb="FFFFFFFF"/>
      <sz val="11"/>
    </font>
    <font>
      <b val="1"/>
    </font>
    <font>
      <sz val="9.5"/>
    </font>
  </fonts>
  <fills count="5">
    <fill>
      <patternFill/>
    </fill>
    <fill>
      <patternFill patternType="gray125"/>
    </fill>
    <fill>
      <patternFill patternType="solid">
        <fgColor rgb="FF005E9E"/>
      </patternFill>
    </fill>
    <fill>
      <patternFill patternType="solid">
        <fgColor rgb="FFFFF2CC"/>
      </patternFill>
    </fill>
    <fill>
      <patternFill patternType="solid">
        <fgColor rgb="FFE5F0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/>
    </xf>
    <xf numFmtId="9" fontId="4" fillId="3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9" fontId="3" fillId="2" borderId="1" applyAlignment="1" pivotButton="0" quotePrefix="0" xfId="0">
      <alignment horizontal="center" vertical="center"/>
    </xf>
    <xf numFmtId="9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52" customWidth="1" min="3" max="3"/>
  </cols>
  <sheetData>
    <row r="1">
      <c r="A1" s="1" t="inlineStr">
        <is>
          <t>Projeto Asia (China) - Modelo Financeiro do Headcount</t>
        </is>
      </c>
    </row>
    <row r="2">
      <c r="A2" s="2" t="inlineStr">
        <is>
          <t>Celulas amarelas sao editaveis. Tudo recalcula automaticamente. Valores anuais em R$.</t>
        </is>
      </c>
    </row>
    <row r="4">
      <c r="A4" s="3" t="inlineStr">
        <is>
          <t>PREMISSAS (editaveis)</t>
        </is>
      </c>
    </row>
    <row r="5">
      <c r="A5" s="4" t="inlineStr">
        <is>
          <t>Pool Profit OFF a agentes (12m)</t>
        </is>
      </c>
      <c r="B5" s="5" t="n">
        <v>2040000</v>
      </c>
    </row>
    <row r="6">
      <c r="A6" s="4" t="inlineStr">
        <is>
          <t>Parcela "intelectual" capturavel do pool (%)</t>
        </is>
      </c>
      <c r="B6" s="6" t="n">
        <v>0.7</v>
      </c>
      <c r="C6" s="7" t="inlineStr">
        <is>
          <t>parte do pool que 1 pessoa consegue negociar (resto e transacional)</t>
        </is>
      </c>
    </row>
    <row r="7">
      <c r="A7" s="4" t="inlineStr">
        <is>
          <t>Custo do headcount (salario + encargos)</t>
        </is>
      </c>
      <c r="B7" s="5" t="n">
        <v>600000</v>
      </c>
    </row>
    <row r="8">
      <c r="A8" s="4" t="inlineStr">
        <is>
          <t>Taxa de estrutura da RS (% sobre captura)</t>
        </is>
      </c>
      <c r="B8" s="6" t="n">
        <v>0.15</v>
      </c>
      <c r="C8" s="7" t="inlineStr">
        <is>
          <t>taxa que a RS cobra para hospedar o headcount (ponto em aberto)</t>
        </is>
      </c>
    </row>
    <row r="9">
      <c r="A9" s="4" t="inlineStr">
        <is>
          <t>% de captura do pool capturavel (meta)</t>
        </is>
      </c>
      <c r="B9" s="6" t="n">
        <v>0.3</v>
      </c>
      <c r="C9" s="7" t="inlineStr">
        <is>
          <t>quanto do pool capturavel o profissional efetivamente traz</t>
        </is>
      </c>
    </row>
    <row r="11">
      <c r="A11" s="3" t="inlineStr">
        <is>
          <t>RESULTADO (calculado)</t>
        </is>
      </c>
    </row>
    <row r="12">
      <c r="A12" s="4" t="inlineStr">
        <is>
          <t>Pool capturavel (R$)</t>
        </is>
      </c>
      <c r="B12" s="8">
        <f>B5*B6</f>
        <v/>
      </c>
    </row>
    <row r="13">
      <c r="A13" s="4" t="inlineStr">
        <is>
          <t>Captura bruta (R$)</t>
        </is>
      </c>
      <c r="B13" s="8">
        <f>B12*B9</f>
        <v/>
      </c>
    </row>
    <row r="14">
      <c r="A14" s="4" t="inlineStr">
        <is>
          <t>Taxa paga a RS (R$)</t>
        </is>
      </c>
      <c r="B14" s="8">
        <f>B13*B8</f>
        <v/>
      </c>
    </row>
    <row r="15">
      <c r="A15" s="4" t="inlineStr">
        <is>
          <t>Captura liquida (R$)</t>
        </is>
      </c>
      <c r="B15" s="8">
        <f>B13-B14</f>
        <v/>
      </c>
    </row>
    <row r="16">
      <c r="A16" s="4" t="inlineStr">
        <is>
          <t>Resultado anual (liquida - custo)</t>
        </is>
      </c>
      <c r="B16" s="8">
        <f>B15-B7</f>
        <v/>
      </c>
    </row>
    <row r="17">
      <c r="A17" s="4" t="inlineStr">
        <is>
          <t>Cobertura do custo (liquida / custo)</t>
        </is>
      </c>
      <c r="B17" s="9">
        <f>B15/B7</f>
        <v/>
      </c>
    </row>
    <row r="19">
      <c r="A19" s="3" t="inlineStr">
        <is>
          <t>PONTO DE EQUILIBRIO</t>
        </is>
      </c>
    </row>
    <row r="20">
      <c r="A20" s="4" t="inlineStr">
        <is>
          <t>% de captura p/ break-even (dada taxa RS atual)</t>
        </is>
      </c>
      <c r="B20" s="10">
        <f>B7/(B12*(1-B8))</f>
        <v/>
      </c>
      <c r="C20" s="7" t="inlineStr">
        <is>
          <t>abaixo disso o headcount da prejuizo no cenario de taxa RS informado</t>
        </is>
      </c>
    </row>
    <row r="21">
      <c r="A21" s="4" t="inlineStr">
        <is>
          <t>Status do cenario atual</t>
        </is>
      </c>
      <c r="B21" s="11">
        <f>SE(B16&gt;=0;"VIAVEL (resultado &gt;= 0)";"ABAIXO DO BREAK-EVEN")</f>
        <v/>
      </c>
    </row>
  </sheetData>
  <mergeCells count="5">
    <mergeCell ref="A19:C19"/>
    <mergeCell ref="A11:C11"/>
    <mergeCell ref="A2:E2"/>
    <mergeCell ref="A1:E1"/>
    <mergeCell ref="A4:C4"/>
  </mergeCells>
  <conditionalFormatting sqref="B21">
    <cfRule type="cellIs" priority="1" operator="containsText" dxfId="0">
      <formula>"VIAVEL"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Sensibilidade: Resultado anual (R$) por % de captura x taxa da RS</t>
        </is>
      </c>
    </row>
    <row r="2">
      <c r="A2" s="2" t="inlineStr">
        <is>
          <t>Cada celula = captura liquida - custo. Verde = viavel (&gt;=0), vermelho = prejuizo. Usa as premissas da aba Modelo (pool, parcela, custo).</t>
        </is>
      </c>
    </row>
    <row r="4">
      <c r="A4" s="12" t="inlineStr">
        <is>
          <t>Captura \ Taxa RS</t>
        </is>
      </c>
      <c r="B4" s="13" t="n">
        <v>0</v>
      </c>
      <c r="C4" s="13" t="n">
        <v>0.05</v>
      </c>
      <c r="D4" s="13" t="n">
        <v>0.1</v>
      </c>
      <c r="E4" s="13" t="n">
        <v>0.15</v>
      </c>
      <c r="F4" s="13" t="n">
        <v>0.2</v>
      </c>
      <c r="G4" s="13" t="n">
        <v>0.25</v>
      </c>
      <c r="H4" s="13" t="n">
        <v>0.3</v>
      </c>
    </row>
    <row r="5">
      <c r="A5" s="14" t="n">
        <v>0.1</v>
      </c>
      <c r="B5" s="15">
        <f>Modelo!$B$12*$A5*(1-B$4)-Modelo!$B$7</f>
        <v/>
      </c>
      <c r="C5" s="15">
        <f>Modelo!$B$12*$A5*(1-C$4)-Modelo!$B$7</f>
        <v/>
      </c>
      <c r="D5" s="15">
        <f>Modelo!$B$12*$A5*(1-D$4)-Modelo!$B$7</f>
        <v/>
      </c>
      <c r="E5" s="15">
        <f>Modelo!$B$12*$A5*(1-E$4)-Modelo!$B$7</f>
        <v/>
      </c>
      <c r="F5" s="15">
        <f>Modelo!$B$12*$A5*(1-F$4)-Modelo!$B$7</f>
        <v/>
      </c>
      <c r="G5" s="15">
        <f>Modelo!$B$12*$A5*(1-G$4)-Modelo!$B$7</f>
        <v/>
      </c>
      <c r="H5" s="15">
        <f>Modelo!$B$12*$A5*(1-H$4)-Modelo!$B$7</f>
        <v/>
      </c>
    </row>
    <row r="6">
      <c r="A6" s="14" t="n">
        <v>0.15</v>
      </c>
      <c r="B6" s="15">
        <f>Modelo!$B$12*$A6*(1-B$4)-Modelo!$B$7</f>
        <v/>
      </c>
      <c r="C6" s="15">
        <f>Modelo!$B$12*$A6*(1-C$4)-Modelo!$B$7</f>
        <v/>
      </c>
      <c r="D6" s="15">
        <f>Modelo!$B$12*$A6*(1-D$4)-Modelo!$B$7</f>
        <v/>
      </c>
      <c r="E6" s="15">
        <f>Modelo!$B$12*$A6*(1-E$4)-Modelo!$B$7</f>
        <v/>
      </c>
      <c r="F6" s="15">
        <f>Modelo!$B$12*$A6*(1-F$4)-Modelo!$B$7</f>
        <v/>
      </c>
      <c r="G6" s="15">
        <f>Modelo!$B$12*$A6*(1-G$4)-Modelo!$B$7</f>
        <v/>
      </c>
      <c r="H6" s="15">
        <f>Modelo!$B$12*$A6*(1-H$4)-Modelo!$B$7</f>
        <v/>
      </c>
    </row>
    <row r="7">
      <c r="A7" s="14" t="n">
        <v>0.2</v>
      </c>
      <c r="B7" s="15">
        <f>Modelo!$B$12*$A7*(1-B$4)-Modelo!$B$7</f>
        <v/>
      </c>
      <c r="C7" s="15">
        <f>Modelo!$B$12*$A7*(1-C$4)-Modelo!$B$7</f>
        <v/>
      </c>
      <c r="D7" s="15">
        <f>Modelo!$B$12*$A7*(1-D$4)-Modelo!$B$7</f>
        <v/>
      </c>
      <c r="E7" s="15">
        <f>Modelo!$B$12*$A7*(1-E$4)-Modelo!$B$7</f>
        <v/>
      </c>
      <c r="F7" s="15">
        <f>Modelo!$B$12*$A7*(1-F$4)-Modelo!$B$7</f>
        <v/>
      </c>
      <c r="G7" s="15">
        <f>Modelo!$B$12*$A7*(1-G$4)-Modelo!$B$7</f>
        <v/>
      </c>
      <c r="H7" s="15">
        <f>Modelo!$B$12*$A7*(1-H$4)-Modelo!$B$7</f>
        <v/>
      </c>
    </row>
    <row r="8">
      <c r="A8" s="14" t="n">
        <v>0.25</v>
      </c>
      <c r="B8" s="15">
        <f>Modelo!$B$12*$A8*(1-B$4)-Modelo!$B$7</f>
        <v/>
      </c>
      <c r="C8" s="15">
        <f>Modelo!$B$12*$A8*(1-C$4)-Modelo!$B$7</f>
        <v/>
      </c>
      <c r="D8" s="15">
        <f>Modelo!$B$12*$A8*(1-D$4)-Modelo!$B$7</f>
        <v/>
      </c>
      <c r="E8" s="15">
        <f>Modelo!$B$12*$A8*(1-E$4)-Modelo!$B$7</f>
        <v/>
      </c>
      <c r="F8" s="15">
        <f>Modelo!$B$12*$A8*(1-F$4)-Modelo!$B$7</f>
        <v/>
      </c>
      <c r="G8" s="15">
        <f>Modelo!$B$12*$A8*(1-G$4)-Modelo!$B$7</f>
        <v/>
      </c>
      <c r="H8" s="15">
        <f>Modelo!$B$12*$A8*(1-H$4)-Modelo!$B$7</f>
        <v/>
      </c>
    </row>
    <row r="9">
      <c r="A9" s="14" t="n">
        <v>0.3</v>
      </c>
      <c r="B9" s="15">
        <f>Modelo!$B$12*$A9*(1-B$4)-Modelo!$B$7</f>
        <v/>
      </c>
      <c r="C9" s="15">
        <f>Modelo!$B$12*$A9*(1-C$4)-Modelo!$B$7</f>
        <v/>
      </c>
      <c r="D9" s="15">
        <f>Modelo!$B$12*$A9*(1-D$4)-Modelo!$B$7</f>
        <v/>
      </c>
      <c r="E9" s="15">
        <f>Modelo!$B$12*$A9*(1-E$4)-Modelo!$B$7</f>
        <v/>
      </c>
      <c r="F9" s="15">
        <f>Modelo!$B$12*$A9*(1-F$4)-Modelo!$B$7</f>
        <v/>
      </c>
      <c r="G9" s="15">
        <f>Modelo!$B$12*$A9*(1-G$4)-Modelo!$B$7</f>
        <v/>
      </c>
      <c r="H9" s="15">
        <f>Modelo!$B$12*$A9*(1-H$4)-Modelo!$B$7</f>
        <v/>
      </c>
    </row>
    <row r="10">
      <c r="A10" s="14" t="n">
        <v>0.35</v>
      </c>
      <c r="B10" s="15">
        <f>Modelo!$B$12*$A10*(1-B$4)-Modelo!$B$7</f>
        <v/>
      </c>
      <c r="C10" s="15">
        <f>Modelo!$B$12*$A10*(1-C$4)-Modelo!$B$7</f>
        <v/>
      </c>
      <c r="D10" s="15">
        <f>Modelo!$B$12*$A10*(1-D$4)-Modelo!$B$7</f>
        <v/>
      </c>
      <c r="E10" s="15">
        <f>Modelo!$B$12*$A10*(1-E$4)-Modelo!$B$7</f>
        <v/>
      </c>
      <c r="F10" s="15">
        <f>Modelo!$B$12*$A10*(1-F$4)-Modelo!$B$7</f>
        <v/>
      </c>
      <c r="G10" s="15">
        <f>Modelo!$B$12*$A10*(1-G$4)-Modelo!$B$7</f>
        <v/>
      </c>
      <c r="H10" s="15">
        <f>Modelo!$B$12*$A10*(1-H$4)-Modelo!$B$7</f>
        <v/>
      </c>
    </row>
    <row r="11">
      <c r="A11" s="14" t="n">
        <v>0.4</v>
      </c>
      <c r="B11" s="15">
        <f>Modelo!$B$12*$A11*(1-B$4)-Modelo!$B$7</f>
        <v/>
      </c>
      <c r="C11" s="15">
        <f>Modelo!$B$12*$A11*(1-C$4)-Modelo!$B$7</f>
        <v/>
      </c>
      <c r="D11" s="15">
        <f>Modelo!$B$12*$A11*(1-D$4)-Modelo!$B$7</f>
        <v/>
      </c>
      <c r="E11" s="15">
        <f>Modelo!$B$12*$A11*(1-E$4)-Modelo!$B$7</f>
        <v/>
      </c>
      <c r="F11" s="15">
        <f>Modelo!$B$12*$A11*(1-F$4)-Modelo!$B$7</f>
        <v/>
      </c>
      <c r="G11" s="15">
        <f>Modelo!$B$12*$A11*(1-G$4)-Modelo!$B$7</f>
        <v/>
      </c>
      <c r="H11" s="15">
        <f>Modelo!$B$12*$A11*(1-H$4)-Modelo!$B$7</f>
        <v/>
      </c>
    </row>
    <row r="12">
      <c r="A12" s="14" t="n">
        <v>0.5</v>
      </c>
      <c r="B12" s="15">
        <f>Modelo!$B$12*$A12*(1-B$4)-Modelo!$B$7</f>
        <v/>
      </c>
      <c r="C12" s="15">
        <f>Modelo!$B$12*$A12*(1-C$4)-Modelo!$B$7</f>
        <v/>
      </c>
      <c r="D12" s="15">
        <f>Modelo!$B$12*$A12*(1-D$4)-Modelo!$B$7</f>
        <v/>
      </c>
      <c r="E12" s="15">
        <f>Modelo!$B$12*$A12*(1-E$4)-Modelo!$B$7</f>
        <v/>
      </c>
      <c r="F12" s="15">
        <f>Modelo!$B$12*$A12*(1-F$4)-Modelo!$B$7</f>
        <v/>
      </c>
      <c r="G12" s="15">
        <f>Modelo!$B$12*$A12*(1-G$4)-Modelo!$B$7</f>
        <v/>
      </c>
      <c r="H12" s="15">
        <f>Modelo!$B$12*$A12*(1-H$4)-Modelo!$B$7</f>
        <v/>
      </c>
    </row>
    <row r="13">
      <c r="A13" s="14" t="n">
        <v>0.6</v>
      </c>
      <c r="B13" s="15">
        <f>Modelo!$B$12*$A13*(1-B$4)-Modelo!$B$7</f>
        <v/>
      </c>
      <c r="C13" s="15">
        <f>Modelo!$B$12*$A13*(1-C$4)-Modelo!$B$7</f>
        <v/>
      </c>
      <c r="D13" s="15">
        <f>Modelo!$B$12*$A13*(1-D$4)-Modelo!$B$7</f>
        <v/>
      </c>
      <c r="E13" s="15">
        <f>Modelo!$B$12*$A13*(1-E$4)-Modelo!$B$7</f>
        <v/>
      </c>
      <c r="F13" s="15">
        <f>Modelo!$B$12*$A13*(1-F$4)-Modelo!$B$7</f>
        <v/>
      </c>
      <c r="G13" s="15">
        <f>Modelo!$B$12*$A13*(1-G$4)-Modelo!$B$7</f>
        <v/>
      </c>
      <c r="H13" s="15">
        <f>Modelo!$B$12*$A13*(1-H$4)-Modelo!$B$7</f>
        <v/>
      </c>
    </row>
    <row r="15">
      <c r="A15" s="2" t="inlineStr">
        <is>
          <t>Leitura: o verde comeca por volta de 30% de captura; com a taxa da RS subindo, a fronteira do break-even desloca para a direita, exigindo capturar mais para o mesmo resultado.</t>
        </is>
      </c>
    </row>
  </sheetData>
  <mergeCells count="3">
    <mergeCell ref="A15:H15"/>
    <mergeCell ref="A2:H2"/>
    <mergeCell ref="A1:H1"/>
  </mergeCells>
  <conditionalFormatting sqref="B5:H13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FINANCEIRO - PROJETO ASIA (CHINA)</t>
        </is>
      </c>
    </row>
    <row r="2">
      <c r="A2" s="16" t="inlineStr"/>
    </row>
    <row r="3">
      <c r="A3" s="17" t="inlineStr">
        <is>
          <t>Objetivo: testar a viabilidade do headcount local sensibilizando as duas variaveis em aberto:</t>
        </is>
      </c>
    </row>
    <row r="4">
      <c r="A4" s="16" t="inlineStr">
        <is>
          <t xml:space="preserve">  (1) a taxa de estrutura cobrada pela RS Logistics e (2) o % de captura que 1 pessoa consegue.</t>
        </is>
      </c>
    </row>
    <row r="5">
      <c r="A5" s="16" t="inlineStr"/>
    </row>
    <row r="6">
      <c r="A6" s="17" t="inlineStr">
        <is>
          <t>Premissas e fontes:</t>
        </is>
      </c>
    </row>
    <row r="7">
      <c r="A7" s="16" t="inlineStr">
        <is>
          <t>- Pool Profit OFF a agentes R$ 2,04 mi: apresentacao DMS +Asia (abr/25-mar/26), universo teorico.</t>
        </is>
      </c>
    </row>
    <row r="8">
      <c r="A8" s="16" t="inlineStr">
        <is>
          <t>- Custo headcount R$ 550-650 mil (usado 600 mil de base): ERI SalaryExpert / Morgan McKinley 2025-26.</t>
        </is>
      </c>
    </row>
    <row r="9">
      <c r="A9" s="16" t="inlineStr">
        <is>
          <t>- Parcela capturavel 70%: premissa de trabalho - parte do pool e transacional (doc/desembaraco),</t>
        </is>
      </c>
    </row>
    <row r="10">
      <c r="A10" s="16" t="inlineStr">
        <is>
          <t xml:space="preserve">  nao substituivel por 1 pessoa. AJUSTAR quando o cliente detalhar a composicao do pool.</t>
        </is>
      </c>
    </row>
    <row r="11">
      <c r="A11" s="16" t="inlineStr">
        <is>
          <t>- Taxa da RS: NAO INFORMADA pelo cliente - e a principal variavel em aberto. Default 15% ilustrativo.</t>
        </is>
      </c>
    </row>
    <row r="12">
      <c r="A12" s="16" t="inlineStr">
        <is>
          <t>- % captura meta 30%: coerente com o break-even citado no deck para custo ~600k sem taxa RS.</t>
        </is>
      </c>
    </row>
    <row r="13">
      <c r="A13" s="16" t="inlineStr"/>
    </row>
    <row r="14">
      <c r="A14" s="17" t="inlineStr">
        <is>
          <t>Como usar:</t>
        </is>
      </c>
    </row>
    <row r="15">
      <c r="A15" s="16" t="inlineStr">
        <is>
          <t>- Aba Modelo: mude as celulas amarelas; o resultado e o break-even recalculam.</t>
        </is>
      </c>
    </row>
    <row r="16">
      <c r="A16" s="16" t="inlineStr">
        <is>
          <t>- Aba Sensibilidade: ve o resultado anual para cada combinacao captura x taxa RS (verde = viavel).</t>
        </is>
      </c>
    </row>
    <row r="17">
      <c r="A17" s="16" t="inlineStr"/>
    </row>
    <row r="18">
      <c r="A18" s="17" t="inlineStr">
        <is>
          <t>Ressalvas importantes:</t>
        </is>
      </c>
    </row>
    <row r="19">
      <c r="A19" s="16" t="inlineStr">
        <is>
          <t>- Este modelo cobre apenas o ganho de MARGEM DE AGENTE (comprovavel). O ganho de rate com</t>
        </is>
      </c>
    </row>
    <row r="20">
      <c r="A20" s="16" t="inlineStr">
        <is>
          <t xml:space="preserve">  armadores (M2/M3) NAO esta aqui - e hipotese ate o piloto rodar, e seria upside.</t>
        </is>
      </c>
    </row>
    <row r="21">
      <c r="A21" s="16" t="inlineStr">
        <is>
          <t>- O pool nao e capturavel de uma vez; a captura e a meta de regime, nao o mes 1.</t>
        </is>
      </c>
    </row>
    <row r="22">
      <c r="A22" s="16" t="inlineStr">
        <is>
          <t>- Nao inclui custo de transicao nem risco de perda de servico na migracao dos 2 agentes (69%).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2026-10-27T19:47:34Z</dcterms:created>
  <dcterms:modified xmlns:dcterms="http://purl.org/dc/terms/" xmlns:xsi="http://www.w3.org/2001/XMLSchema-instance" xsi:type="dcterms:W3CDTF">2026-10-27T19:47:34Z</dcterms:modified>
</cp:coreProperties>
</file>